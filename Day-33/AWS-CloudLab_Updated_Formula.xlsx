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nit\Desktop\"/>
    </mc:Choice>
  </mc:AlternateContent>
  <xr:revisionPtr revIDLastSave="0" documentId="13_ncr:1_{71259DF1-63E2-441A-A5E4-17307C5546C5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CloudLabs Cost Calculator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8" i="1" l="1"/>
  <c r="H9" i="1"/>
  <c r="A17" i="1"/>
  <c r="H14" i="1"/>
  <c r="H13" i="1"/>
  <c r="H12" i="1"/>
  <c r="H11" i="1"/>
  <c r="H10" i="1"/>
  <c r="H15" i="1" l="1"/>
  <c r="H17" i="1" s="1"/>
</calcChain>
</file>

<file path=xl/sharedStrings.xml><?xml version="1.0" encoding="utf-8"?>
<sst xmlns="http://schemas.openxmlformats.org/spreadsheetml/2006/main" count="29" uniqueCount="27">
  <si>
    <t>CloudLabs Cost Calculator(AWS)</t>
  </si>
  <si>
    <t>Please enter lab duration (In Hours)</t>
  </si>
  <si>
    <t>Please enter cluster uptime (In hours)</t>
  </si>
  <si>
    <t>Total Number of Users</t>
  </si>
  <si>
    <t>COST ESTIMATE</t>
  </si>
  <si>
    <t>Track name</t>
  </si>
  <si>
    <t>Dedicated Resources Deployed</t>
  </si>
  <si>
    <t>Type and Size</t>
  </si>
  <si>
    <t>Resource can be paused, if true enter 1 otherwise 0</t>
  </si>
  <si>
    <t>Cost/Month</t>
  </si>
  <si>
    <t>Fixed Cost</t>
  </si>
  <si>
    <t>Count</t>
  </si>
  <si>
    <t>Total Cost</t>
  </si>
  <si>
    <t>N.Virginia</t>
  </si>
  <si>
    <t>EC2 Instance Cost</t>
  </si>
  <si>
    <t>c6in.xlarge (4 Core 8GiB) ($0.354/hr)</t>
  </si>
  <si>
    <t>General Purpose gp2(60GB)</t>
  </si>
  <si>
    <t>m5.xlarge (4 core 16GiB)($0.32)</t>
  </si>
  <si>
    <t>t3a.small (2 vCPUs, 2GiB)($0.082)</t>
  </si>
  <si>
    <t>Public IP</t>
  </si>
  <si>
    <t>Dynamic IP</t>
  </si>
  <si>
    <t>10GB/hour, 1connection/second, 30s average connection time</t>
  </si>
  <si>
    <t>ACI Container (Linux)</t>
  </si>
  <si>
    <t>Linux 0.5vCPU/1GB RAM (ECS Fargate)</t>
  </si>
  <si>
    <t>Total Cost Per User</t>
  </si>
  <si>
    <t>Load Balancer</t>
  </si>
  <si>
    <t>EBS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</si>
</sst>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1A1A1A"/>
      <name val="Calibri"/>
      <family val="2"/>
    </font>
    <font>
      <b/>
      <sz val="12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rgb="FF1A1A1A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04040"/>
        <bgColor rgb="FF333399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FFFFFF"/>
      </patternFill>
    </fill>
    <fill>
      <patternFill patternType="solid">
        <fgColor rgb="FF0070C0"/>
        <bgColor rgb="FF999999"/>
      </patternFill>
    </fill>
    <fill>
      <patternFill patternType="solid">
        <fgColor rgb="FF0070C0"/>
        <bgColor rgb="FF80808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999999"/>
      </left>
      <right style="thin">
        <color rgb="FFCCCCCC"/>
      </right>
      <top style="medium">
        <color rgb="FF999999"/>
      </top>
      <bottom style="medium">
        <color rgb="FF99999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3" borderId="1" xfId="0" applyFill="1" applyBorder="1"/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4" fontId="6" fillId="3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4" fontId="6" fillId="4" borderId="1" xfId="0" applyNumberFormat="1" applyFont="1" applyFill="1" applyBorder="1" applyAlignment="1">
      <alignment horizontal="center" vertical="center"/>
    </xf>
    <xf numFmtId="4" fontId="2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4" fontId="4" fillId="2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4" fillId="2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06060"/>
      <rgbColor rgb="FF999999"/>
      <rgbColor rgb="FF003366"/>
      <rgbColor rgb="FF339966"/>
      <rgbColor rgb="FF003300"/>
      <rgbColor rgb="FF1A1A1A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zoomScale="65" zoomScaleNormal="94" workbookViewId="0">
      <selection activeCell="H9" sqref="H9"/>
    </sheetView>
  </sheetViews>
  <sheetFormatPr defaultColWidth="8.6328125" defaultRowHeight="14.5" x14ac:dyDescent="0.35"/>
  <cols>
    <col min="1" max="1" width="4" customWidth="1"/>
    <col min="2" max="2" width="22" customWidth="1"/>
    <col min="3" max="3" width="38" customWidth="1"/>
    <col min="4" max="4" width="26" customWidth="1"/>
    <col min="5" max="5" width="14" customWidth="1"/>
    <col min="6" max="6" width="13" customWidth="1"/>
    <col min="7" max="7" width="10" customWidth="1"/>
    <col min="8" max="9" width="13" customWidth="1"/>
  </cols>
  <sheetData>
    <row r="1" spans="1:9" ht="30" customHeight="1" x14ac:dyDescent="0.35">
      <c r="A1" s="18" t="s">
        <v>0</v>
      </c>
      <c r="B1" s="18"/>
      <c r="C1" s="18"/>
      <c r="D1" s="18"/>
      <c r="E1" s="18"/>
      <c r="F1" s="18"/>
      <c r="G1" s="18"/>
      <c r="H1" s="18"/>
      <c r="I1" s="18"/>
    </row>
    <row r="2" spans="1:9" ht="21.75" customHeight="1" x14ac:dyDescent="0.35">
      <c r="A2" s="14" t="s">
        <v>1</v>
      </c>
      <c r="B2" s="14"/>
      <c r="C2" s="14"/>
      <c r="D2" s="14"/>
      <c r="E2" s="15">
        <v>1</v>
      </c>
      <c r="F2" s="15"/>
      <c r="G2" s="1"/>
      <c r="H2" s="1"/>
      <c r="I2" s="1"/>
    </row>
    <row r="3" spans="1:9" ht="21.75" customHeight="1" x14ac:dyDescent="0.35">
      <c r="A3" s="14" t="s">
        <v>2</v>
      </c>
      <c r="B3" s="14"/>
      <c r="C3" s="14"/>
      <c r="D3" s="14"/>
      <c r="E3" s="15">
        <v>50</v>
      </c>
      <c r="F3" s="15"/>
      <c r="G3" s="1"/>
      <c r="H3" s="1"/>
      <c r="I3" s="1"/>
    </row>
    <row r="4" spans="1:9" ht="21.75" customHeight="1" x14ac:dyDescent="0.35">
      <c r="A4" s="14" t="s">
        <v>3</v>
      </c>
      <c r="B4" s="14"/>
      <c r="C4" s="14"/>
      <c r="D4" s="14"/>
      <c r="E4" s="15">
        <v>1</v>
      </c>
      <c r="F4" s="15"/>
      <c r="G4" s="1"/>
      <c r="H4" s="1"/>
      <c r="I4" s="1"/>
    </row>
    <row r="5" spans="1:9" ht="7.5" customHeight="1" x14ac:dyDescent="0.35">
      <c r="A5" s="12"/>
      <c r="B5" s="12"/>
      <c r="C5" s="12"/>
      <c r="D5" s="12"/>
      <c r="E5" s="12"/>
      <c r="F5" s="12"/>
      <c r="G5" s="12"/>
      <c r="H5" s="12"/>
      <c r="I5" s="12"/>
    </row>
    <row r="6" spans="1:9" ht="21.75" customHeight="1" x14ac:dyDescent="0.35">
      <c r="A6" s="16" t="s">
        <v>4</v>
      </c>
      <c r="B6" s="16"/>
      <c r="C6" s="16"/>
      <c r="D6" s="16"/>
      <c r="E6" s="16"/>
      <c r="F6" s="16"/>
      <c r="G6" s="16"/>
      <c r="H6" s="16"/>
      <c r="I6" s="16"/>
    </row>
    <row r="7" spans="1:9" ht="39.75" customHeight="1" x14ac:dyDescent="0.35">
      <c r="A7" s="11" t="s">
        <v>5</v>
      </c>
      <c r="B7" s="11" t="s">
        <v>6</v>
      </c>
      <c r="C7" s="11" t="s">
        <v>7</v>
      </c>
      <c r="D7" s="11" t="s">
        <v>8</v>
      </c>
      <c r="E7" s="11" t="s">
        <v>9</v>
      </c>
      <c r="F7" s="11" t="s">
        <v>10</v>
      </c>
      <c r="G7" s="11" t="s">
        <v>11</v>
      </c>
      <c r="H7" s="11" t="s">
        <v>12</v>
      </c>
      <c r="I7" s="11" t="s">
        <v>13</v>
      </c>
    </row>
    <row r="8" spans="1:9" ht="19.5" customHeight="1" x14ac:dyDescent="0.35">
      <c r="A8" s="2"/>
      <c r="B8" s="2" t="s">
        <v>14</v>
      </c>
      <c r="C8" s="2" t="s">
        <v>15</v>
      </c>
      <c r="D8" s="3">
        <v>1</v>
      </c>
      <c r="E8" s="4">
        <v>258.70999999999998</v>
      </c>
      <c r="F8" s="3"/>
      <c r="G8" s="3">
        <v>1</v>
      </c>
      <c r="H8" s="4">
        <f>IF(D8=1,E8*($E$3/720)*G8,E8*($E$2/720)*G8)</f>
        <v>17.96597222222222</v>
      </c>
      <c r="I8" s="3"/>
    </row>
    <row r="9" spans="1:9" ht="19.5" customHeight="1" x14ac:dyDescent="0.35">
      <c r="A9" s="5"/>
      <c r="B9" s="5" t="s">
        <v>26</v>
      </c>
      <c r="C9" s="5" t="s">
        <v>16</v>
      </c>
      <c r="D9" s="6">
        <v>0</v>
      </c>
      <c r="E9" s="7">
        <v>6</v>
      </c>
      <c r="F9" s="6"/>
      <c r="G9" s="6">
        <v>1</v>
      </c>
      <c r="H9" s="7">
        <f>IF(D9=1,E9*($E$3/720)*G9,E9*($E$2/720)*G9)</f>
        <v>8.3333333333333332E-3</v>
      </c>
      <c r="I9" s="6"/>
    </row>
    <row r="10" spans="1:9" ht="19.5" customHeight="1" x14ac:dyDescent="0.35">
      <c r="A10" s="2"/>
      <c r="B10" s="2" t="s">
        <v>14</v>
      </c>
      <c r="C10" s="2" t="s">
        <v>17</v>
      </c>
      <c r="D10" s="3">
        <v>1</v>
      </c>
      <c r="E10" s="4">
        <v>233.6</v>
      </c>
      <c r="F10" s="3"/>
      <c r="G10" s="3">
        <v>0</v>
      </c>
      <c r="H10" s="4">
        <f t="shared" ref="H10:H14" si="0">IF(D10=1,E10*($E$3/720)*G10,E10*($E$2/720)*G10)</f>
        <v>0</v>
      </c>
      <c r="I10" s="3"/>
    </row>
    <row r="11" spans="1:9" ht="19.5" customHeight="1" x14ac:dyDescent="0.35">
      <c r="A11" s="5"/>
      <c r="B11" s="5" t="s">
        <v>14</v>
      </c>
      <c r="C11" s="5" t="s">
        <v>18</v>
      </c>
      <c r="D11" s="6">
        <v>1</v>
      </c>
      <c r="E11" s="7">
        <v>60.3</v>
      </c>
      <c r="F11" s="6"/>
      <c r="G11" s="6">
        <v>0</v>
      </c>
      <c r="H11" s="7">
        <f t="shared" si="0"/>
        <v>0</v>
      </c>
      <c r="I11" s="6"/>
    </row>
    <row r="12" spans="1:9" ht="19.5" customHeight="1" x14ac:dyDescent="0.35">
      <c r="A12" s="2"/>
      <c r="B12" s="2" t="s">
        <v>19</v>
      </c>
      <c r="C12" s="2" t="s">
        <v>20</v>
      </c>
      <c r="D12" s="3">
        <v>0</v>
      </c>
      <c r="E12" s="4">
        <v>3.65</v>
      </c>
      <c r="F12" s="3"/>
      <c r="G12" s="3">
        <v>0</v>
      </c>
      <c r="H12" s="4">
        <f t="shared" si="0"/>
        <v>0</v>
      </c>
      <c r="I12" s="3"/>
    </row>
    <row r="13" spans="1:9" ht="19.5" customHeight="1" x14ac:dyDescent="0.35">
      <c r="A13" s="5"/>
      <c r="B13" s="5" t="s">
        <v>25</v>
      </c>
      <c r="C13" s="5" t="s">
        <v>21</v>
      </c>
      <c r="D13" s="6">
        <v>0</v>
      </c>
      <c r="E13" s="7">
        <v>32.85</v>
      </c>
      <c r="F13" s="6"/>
      <c r="G13" s="6">
        <v>1</v>
      </c>
      <c r="H13" s="7">
        <f t="shared" si="0"/>
        <v>4.5625000000000006E-2</v>
      </c>
      <c r="I13" s="6"/>
    </row>
    <row r="14" spans="1:9" ht="19.5" customHeight="1" x14ac:dyDescent="0.35">
      <c r="A14" s="2"/>
      <c r="B14" s="2" t="s">
        <v>22</v>
      </c>
      <c r="C14" s="2" t="s">
        <v>23</v>
      </c>
      <c r="D14" s="3">
        <v>1</v>
      </c>
      <c r="E14" s="4">
        <v>36.5</v>
      </c>
      <c r="F14" s="3"/>
      <c r="G14" s="3">
        <v>1</v>
      </c>
      <c r="H14" s="4">
        <f t="shared" si="0"/>
        <v>2.5347222222222223</v>
      </c>
      <c r="I14" s="3"/>
    </row>
    <row r="15" spans="1:9" ht="21.75" customHeight="1" x14ac:dyDescent="0.35">
      <c r="A15" s="17" t="s">
        <v>24</v>
      </c>
      <c r="B15" s="17"/>
      <c r="C15" s="17"/>
      <c r="D15" s="17"/>
      <c r="E15" s="17"/>
      <c r="F15" s="17"/>
      <c r="G15" s="17"/>
      <c r="H15" s="8">
        <f>SUM(H8:H14)</f>
        <v>20.554652777777775</v>
      </c>
      <c r="I15" s="9"/>
    </row>
    <row r="16" spans="1:9" ht="7.5" customHeight="1" x14ac:dyDescent="0.35">
      <c r="A16" s="12"/>
      <c r="B16" s="12"/>
      <c r="C16" s="12"/>
      <c r="D16" s="12"/>
      <c r="E16" s="12"/>
      <c r="F16" s="12"/>
      <c r="G16" s="12"/>
      <c r="H16" s="12"/>
      <c r="I16" s="12"/>
    </row>
    <row r="17" spans="1:9" ht="24" customHeight="1" x14ac:dyDescent="0.35">
      <c r="A17" s="13" t="str">
        <f>"Total cost for "&amp;E4&amp;" user(s)"</f>
        <v>Total cost for 1 user(s)</v>
      </c>
      <c r="B17" s="13"/>
      <c r="C17" s="13"/>
      <c r="D17" s="13"/>
      <c r="E17" s="13"/>
      <c r="F17" s="13"/>
      <c r="G17" s="13"/>
      <c r="H17" s="10">
        <f>H15*E4</f>
        <v>20.554652777777775</v>
      </c>
      <c r="I17" s="9"/>
    </row>
  </sheetData>
  <mergeCells count="12">
    <mergeCell ref="A1:I1"/>
    <mergeCell ref="A2:D2"/>
    <mergeCell ref="E2:F2"/>
    <mergeCell ref="A3:D3"/>
    <mergeCell ref="E3:F3"/>
    <mergeCell ref="A16:I16"/>
    <mergeCell ref="A17:G17"/>
    <mergeCell ref="A4:D4"/>
    <mergeCell ref="E4:F4"/>
    <mergeCell ref="A5:I5"/>
    <mergeCell ref="A6:I6"/>
    <mergeCell ref="A15:G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CloudLabs Cost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Denith Mathew</cp:lastModifiedBy>
  <cp:revision>0</cp:revision>
  <dcterms:created xsi:type="dcterms:W3CDTF">2026-03-20T11:09:47Z</dcterms:created>
  <dcterms:modified xsi:type="dcterms:W3CDTF">2026-03-23T03:21:42Z</dcterms:modified>
  <dc:language>en-US</dc:language>
</cp:coreProperties>
</file>